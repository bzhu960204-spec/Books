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5年平均盈利" sheetId="1" r:id="rId1"/>
    <sheet name="10年平均盈利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<sst xmlns="http://schemas.openxmlformats.org/spreadsheetml/2006/main" count="36" uniqueCount="25">
  <si>
    <r>
      <rPr>
        <sz val="16"/>
        <color theme="1"/>
        <rFont val="宋体"/>
        <charset val="134"/>
      </rPr>
      <t>股票代码</t>
    </r>
  </si>
  <si>
    <r>
      <rPr>
        <sz val="16"/>
        <color theme="1"/>
        <rFont val="宋体"/>
        <charset val="134"/>
      </rPr>
      <t>单位</t>
    </r>
  </si>
  <si>
    <r>
      <rPr>
        <sz val="16"/>
        <color theme="1"/>
        <rFont val="宋体"/>
        <charset val="134"/>
      </rPr>
      <t>目前估值</t>
    </r>
  </si>
  <si>
    <r>
      <rPr>
        <sz val="16"/>
        <color theme="1"/>
        <rFont val="宋体"/>
        <charset val="134"/>
      </rPr>
      <t>近五年平均盈利</t>
    </r>
  </si>
  <si>
    <r>
      <rPr>
        <sz val="16"/>
        <color theme="1"/>
        <rFont val="宋体"/>
        <charset val="134"/>
      </rPr>
      <t>近五年平均</t>
    </r>
    <r>
      <rPr>
        <sz val="16"/>
        <color theme="1"/>
        <rFont val="Calibri"/>
        <charset val="134"/>
      </rPr>
      <t>PE</t>
    </r>
  </si>
  <si>
    <t>更新日期</t>
  </si>
  <si>
    <t>QFIN</t>
  </si>
  <si>
    <t>亿人民币</t>
  </si>
  <si>
    <t>2022.5.30</t>
  </si>
  <si>
    <t>FINV</t>
  </si>
  <si>
    <t>2022.7.2</t>
  </si>
  <si>
    <t>ZIM</t>
  </si>
  <si>
    <t>百万美元</t>
  </si>
  <si>
    <t>FLWS</t>
  </si>
  <si>
    <r>
      <rPr>
        <sz val="16"/>
        <color theme="1"/>
        <rFont val="Calibri"/>
        <charset val="134"/>
      </rPr>
      <t xml:space="preserve"> </t>
    </r>
    <r>
      <rPr>
        <sz val="16"/>
        <color theme="1"/>
        <rFont val="宋体"/>
        <charset val="134"/>
      </rPr>
      <t>百万美元</t>
    </r>
  </si>
  <si>
    <t>2022.6.17</t>
  </si>
  <si>
    <t>MU</t>
  </si>
  <si>
    <t>十亿美元</t>
  </si>
  <si>
    <t>CWH</t>
  </si>
  <si>
    <t>LU</t>
  </si>
  <si>
    <t>2022.6.23</t>
  </si>
  <si>
    <t>DISH</t>
  </si>
  <si>
    <t>亿美元</t>
  </si>
  <si>
    <t>近十年平均盈利</t>
  </si>
  <si>
    <r>
      <t>近十年平均</t>
    </r>
    <r>
      <rPr>
        <sz val="16"/>
        <color theme="1"/>
        <rFont val="Calibri"/>
        <charset val="134"/>
      </rPr>
      <t>PE</t>
    </r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</si>
</sst>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6"/>
      <color theme="1"/>
      <name val="Calibri"/>
      <charset val="134"/>
    </font>
    <font>
      <sz val="16"/>
      <color theme="1"/>
      <name val="宋体"/>
      <charset val="134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17" fillId="5" borderId="2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tabSelected="1" workbookViewId="0">
      <selection activeCell="A3" sqref="A3:K3"/>
    </sheetView>
  </sheetViews>
  <sheetFormatPr defaultColWidth="9" defaultRowHeight="13.5"/>
  <cols>
    <col min="1" max="1" width="30.625" customWidth="1"/>
    <col min="2" max="2" width="20" customWidth="1"/>
    <col min="3" max="3" width="20.125" customWidth="1"/>
    <col min="4" max="4" width="20" customWidth="1"/>
    <col min="5" max="5" width="16.375" customWidth="1"/>
    <col min="6" max="6" width="16.875" customWidth="1"/>
    <col min="7" max="8" width="18.5" customWidth="1"/>
    <col min="9" max="9" width="11.5" customWidth="1"/>
    <col min="10" max="10" width="13.75" customWidth="1"/>
    <col min="11" max="11" width="20.5" customWidth="1"/>
  </cols>
  <sheetData>
    <row r="1" ht="21" spans="1:11">
      <c r="A1" s="1" t="s">
        <v>0</v>
      </c>
      <c r="B1" s="1" t="s">
        <v>1</v>
      </c>
      <c r="C1" s="1" t="s">
        <v>2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 t="s">
        <v>3</v>
      </c>
      <c r="J1" s="1" t="s">
        <v>4</v>
      </c>
      <c r="K1" s="1" t="s">
        <v>5</v>
      </c>
    </row>
    <row r="2" ht="21" spans="1:11">
      <c r="A2" s="1" t="s">
        <v>6</v>
      </c>
      <c r="B2" s="1" t="s">
        <v>7</v>
      </c>
      <c r="C2" s="1">
        <v>150.3</v>
      </c>
      <c r="D2" s="1">
        <v>1.65</v>
      </c>
      <c r="E2" s="1">
        <v>11.93</v>
      </c>
      <c r="F2" s="1">
        <v>25.02</v>
      </c>
      <c r="G2" s="1">
        <v>34.97</v>
      </c>
      <c r="H2" s="1">
        <v>57.82</v>
      </c>
      <c r="I2" s="1">
        <f t="shared" ref="I2:I9" si="0">(D2+E2+F2+G2+H2)/5</f>
        <v>26.278</v>
      </c>
      <c r="J2" s="1">
        <f t="shared" ref="J2:J9" si="1">C2/I2</f>
        <v>5.71961336479184</v>
      </c>
      <c r="K2" s="1" t="s">
        <v>8</v>
      </c>
    </row>
    <row r="3" ht="21" spans="1:11">
      <c r="A3" s="1" t="s">
        <v>9</v>
      </c>
      <c r="B3" s="1" t="s">
        <v>7</v>
      </c>
      <c r="C3" s="1">
        <v>94.08</v>
      </c>
      <c r="D3" s="1">
        <v>10.83</v>
      </c>
      <c r="E3" s="1">
        <v>24.69</v>
      </c>
      <c r="F3" s="1">
        <v>23.73</v>
      </c>
      <c r="G3" s="1">
        <v>19.73</v>
      </c>
      <c r="H3" s="1">
        <v>25.09</v>
      </c>
      <c r="I3" s="1">
        <f t="shared" si="0"/>
        <v>20.814</v>
      </c>
      <c r="J3" s="1">
        <f t="shared" si="1"/>
        <v>4.52003459210147</v>
      </c>
      <c r="K3" s="1" t="s">
        <v>10</v>
      </c>
    </row>
    <row r="4" ht="21" spans="1:11">
      <c r="A4" s="1" t="s">
        <v>11</v>
      </c>
      <c r="B4" s="2" t="s">
        <v>12</v>
      </c>
      <c r="C4" s="1">
        <v>5245</v>
      </c>
      <c r="D4" s="1">
        <v>11.36</v>
      </c>
      <c r="E4" s="1">
        <v>-119.85</v>
      </c>
      <c r="F4" s="1">
        <v>-13.04</v>
      </c>
      <c r="G4" s="1">
        <v>524.19</v>
      </c>
      <c r="H4" s="1">
        <v>4649.15</v>
      </c>
      <c r="I4" s="1">
        <f t="shared" si="0"/>
        <v>1010.362</v>
      </c>
      <c r="J4" s="1">
        <f t="shared" si="1"/>
        <v>5.19120869549726</v>
      </c>
      <c r="K4" s="1" t="s">
        <v>10</v>
      </c>
    </row>
    <row r="5" ht="21" spans="1:11">
      <c r="A5" s="3" t="s">
        <v>13</v>
      </c>
      <c r="B5" s="3" t="s">
        <v>14</v>
      </c>
      <c r="C5" s="3">
        <v>601.66</v>
      </c>
      <c r="D5" s="3">
        <v>40.04</v>
      </c>
      <c r="E5" s="3">
        <v>40.79</v>
      </c>
      <c r="F5" s="3">
        <v>34.77</v>
      </c>
      <c r="G5" s="3">
        <v>59</v>
      </c>
      <c r="H5" s="3">
        <v>118.65</v>
      </c>
      <c r="I5" s="1">
        <f t="shared" si="0"/>
        <v>58.65</v>
      </c>
      <c r="J5" s="1">
        <f t="shared" si="1"/>
        <v>10.2584825234442</v>
      </c>
      <c r="K5" s="3" t="s">
        <v>15</v>
      </c>
    </row>
    <row r="6" ht="21" spans="1:11">
      <c r="A6" s="3" t="s">
        <v>16</v>
      </c>
      <c r="B6" s="4" t="s">
        <v>17</v>
      </c>
      <c r="C6" s="3">
        <v>60.77</v>
      </c>
      <c r="D6" s="3">
        <v>5.09</v>
      </c>
      <c r="E6" s="3">
        <v>14.14</v>
      </c>
      <c r="F6" s="3">
        <v>6.36</v>
      </c>
      <c r="G6" s="3">
        <v>2.71</v>
      </c>
      <c r="H6" s="3">
        <v>5.86</v>
      </c>
      <c r="I6" s="1">
        <f t="shared" si="0"/>
        <v>6.832</v>
      </c>
      <c r="J6" s="1">
        <f t="shared" si="1"/>
        <v>8.89490632318501</v>
      </c>
      <c r="K6" s="3" t="s">
        <v>15</v>
      </c>
    </row>
    <row r="7" ht="21" spans="1:11">
      <c r="A7" s="3" t="s">
        <v>18</v>
      </c>
      <c r="B7" s="4" t="s">
        <v>12</v>
      </c>
      <c r="C7" s="3">
        <v>909.66</v>
      </c>
      <c r="D7" s="3">
        <v>232.97</v>
      </c>
      <c r="E7" s="3">
        <v>65.58</v>
      </c>
      <c r="F7" s="3">
        <v>-120.3</v>
      </c>
      <c r="G7" s="3">
        <v>344.21</v>
      </c>
      <c r="H7" s="3">
        <v>642.08</v>
      </c>
      <c r="I7" s="1">
        <f t="shared" si="0"/>
        <v>232.908</v>
      </c>
      <c r="J7" s="1">
        <f t="shared" si="1"/>
        <v>3.90566232160338</v>
      </c>
      <c r="K7" s="3" t="s">
        <v>10</v>
      </c>
    </row>
    <row r="8" ht="21" spans="1:11">
      <c r="A8" s="3" t="s">
        <v>19</v>
      </c>
      <c r="B8" s="4" t="s">
        <v>7</v>
      </c>
      <c r="C8" s="3">
        <v>975</v>
      </c>
      <c r="D8" s="3">
        <v>59.65</v>
      </c>
      <c r="E8" s="3">
        <v>136.2</v>
      </c>
      <c r="F8" s="3">
        <v>133.3</v>
      </c>
      <c r="G8" s="3">
        <v>123.5</v>
      </c>
      <c r="H8" s="3">
        <v>168</v>
      </c>
      <c r="I8" s="1">
        <f t="shared" si="0"/>
        <v>124.13</v>
      </c>
      <c r="J8" s="1">
        <f t="shared" si="1"/>
        <v>7.85466849270926</v>
      </c>
      <c r="K8" s="3" t="s">
        <v>20</v>
      </c>
    </row>
    <row r="9" ht="21" spans="1:11">
      <c r="A9" s="5" t="s">
        <v>21</v>
      </c>
      <c r="B9" s="6" t="s">
        <v>22</v>
      </c>
      <c r="C9" s="5">
        <v>97.02</v>
      </c>
      <c r="D9" s="5">
        <v>20.99</v>
      </c>
      <c r="E9" s="5">
        <v>15.75</v>
      </c>
      <c r="F9" s="5">
        <v>14</v>
      </c>
      <c r="G9" s="5">
        <v>17.63</v>
      </c>
      <c r="H9" s="5">
        <v>24.11</v>
      </c>
      <c r="I9" s="7">
        <f t="shared" si="0"/>
        <v>18.496</v>
      </c>
      <c r="J9" s="7">
        <f t="shared" si="1"/>
        <v>5.24545847750865</v>
      </c>
      <c r="K9" s="5" t="s">
        <v>10</v>
      </c>
    </row>
    <row r="10" ht="21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21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21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21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21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21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21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1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21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1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21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21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1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21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21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21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21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21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2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21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21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21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21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21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21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21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21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21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2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21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21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21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21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21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21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21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21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21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2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21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21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21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21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21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21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21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21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21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2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21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21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21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21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21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21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21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21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21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2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21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21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21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21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21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21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21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21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21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2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21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21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21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21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21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21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21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21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21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2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21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21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21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21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21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21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21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21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21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2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21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21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21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21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21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21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21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21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21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2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21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21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21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21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21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21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21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21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21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21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21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21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21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21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21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21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21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21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2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21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21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21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7"/>
  <sheetViews>
    <sheetView workbookViewId="0">
      <selection activeCell="B5" sqref="B5"/>
    </sheetView>
  </sheetViews>
  <sheetFormatPr defaultColWidth="9" defaultRowHeight="13.5"/>
  <cols>
    <col min="2" max="2" width="10.75" customWidth="1"/>
    <col min="3" max="3" width="14.625" customWidth="1"/>
    <col min="9" max="10" width="19.75" customWidth="1"/>
    <col min="11" max="11" width="12.25" customWidth="1"/>
    <col min="14" max="14" width="19.25" customWidth="1"/>
    <col min="15" max="15" width="22.875" customWidth="1"/>
    <col min="16" max="16" width="11.875" customWidth="1"/>
  </cols>
  <sheetData>
    <row r="1" ht="21" spans="1:17">
      <c r="A1" s="1" t="s">
        <v>0</v>
      </c>
      <c r="B1" s="1" t="s">
        <v>1</v>
      </c>
      <c r="C1" s="1" t="s">
        <v>2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2" t="s">
        <v>23</v>
      </c>
      <c r="O1" s="2" t="s">
        <v>24</v>
      </c>
      <c r="P1" s="1" t="s">
        <v>5</v>
      </c>
      <c r="Q1" s="1"/>
    </row>
    <row r="2" ht="21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1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1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1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21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21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ht="21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21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21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2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21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21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21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21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21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21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21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ht="21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ht="21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21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21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ht="21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ht="21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ht="21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21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21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21" spans="1:1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21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21" spans="1:1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21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21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21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21" spans="1:1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21" spans="1:1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21" spans="1:1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21" spans="1:1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21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21" spans="1:1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2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21" spans="1:1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21" spans="1:1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21" spans="1:1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21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21" spans="1:1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21" spans="1:1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21" spans="1:1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21" spans="1:1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21" spans="1:1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2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21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21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21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21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21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21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21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21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21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2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21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21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21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21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21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21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21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21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21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2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21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21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21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21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21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21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21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21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21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2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21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21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21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21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21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21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5年平均盈利</vt:lpstr>
      <vt:lpstr>10年平均盈利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Zhu</dc:creator>
  <cp:lastModifiedBy>，，</cp:lastModifiedBy>
  <dcterms:created xsi:type="dcterms:W3CDTF">2022-06-09T20:30:00Z</dcterms:created>
  <dcterms:modified xsi:type="dcterms:W3CDTF">2022-07-01T19:54:17Z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B48E7FA43E6A49A195A71E6C5AE12761</vt:lpwstr>
  </property>
  <property fmtid="{D5CDD505-2E9C-101B-9397-08002B2CF9AE}" pid="3" name="KSOProductBuildVer">
    <vt:lpwstr>2052-11.1.0.11744</vt:lpwstr>
  </property>
</Properties>
</file>