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5年平均盈利" sheetId="1" r:id="rId1"/>
    <sheet name="10年平均盈利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<sst xmlns="http://schemas.openxmlformats.org/spreadsheetml/2006/main" count="127" uniqueCount="69">
  <si>
    <r>
      <rPr>
        <sz val="16"/>
        <color theme="1"/>
        <rFont val="宋体"/>
        <charset val="134"/>
      </rPr>
      <t>股票代码</t>
    </r>
  </si>
  <si>
    <r>
      <rPr>
        <sz val="16"/>
        <color theme="1"/>
        <rFont val="宋体"/>
        <charset val="134"/>
      </rPr>
      <t>单位</t>
    </r>
  </si>
  <si>
    <r>
      <rPr>
        <sz val="16"/>
        <color theme="1"/>
        <rFont val="宋体"/>
        <charset val="134"/>
      </rPr>
      <t>目前估值</t>
    </r>
  </si>
  <si>
    <r>
      <rPr>
        <sz val="16"/>
        <color theme="1"/>
        <rFont val="宋体"/>
        <charset val="134"/>
      </rPr>
      <t>近五年平均盈利</t>
    </r>
  </si>
  <si>
    <r>
      <rPr>
        <sz val="16"/>
        <color theme="1"/>
        <rFont val="宋体"/>
        <charset val="134"/>
      </rPr>
      <t>近五年平均</t>
    </r>
    <r>
      <rPr>
        <sz val="16"/>
        <color theme="1"/>
        <rFont val="Calibri"/>
        <charset val="134"/>
      </rPr>
      <t>PE</t>
    </r>
  </si>
  <si>
    <t>更新日期</t>
  </si>
  <si>
    <t>OSTK</t>
  </si>
  <si>
    <t>百万美元</t>
  </si>
  <si>
    <t>2022.6.28</t>
  </si>
  <si>
    <t>TIGR</t>
  </si>
  <si>
    <r>
      <rPr>
        <sz val="16"/>
        <color theme="1"/>
        <rFont val="宋体"/>
        <charset val="134"/>
      </rPr>
      <t>万美元</t>
    </r>
  </si>
  <si>
    <t>2022.5.30</t>
  </si>
  <si>
    <t>UNFI</t>
  </si>
  <si>
    <t>亿美元</t>
  </si>
  <si>
    <t>TAL</t>
  </si>
  <si>
    <t>QD</t>
  </si>
  <si>
    <t>亿人民币</t>
  </si>
  <si>
    <t>2022.7.6</t>
  </si>
  <si>
    <t>HAPP</t>
  </si>
  <si>
    <t>万美元</t>
  </si>
  <si>
    <t>2022.6.10</t>
  </si>
  <si>
    <t>LX</t>
  </si>
  <si>
    <r>
      <rPr>
        <sz val="16"/>
        <color theme="1"/>
        <rFont val="宋体"/>
        <charset val="134"/>
      </rPr>
      <t>亿人民币</t>
    </r>
  </si>
  <si>
    <t>GNW</t>
  </si>
  <si>
    <t>2022.6.23</t>
  </si>
  <si>
    <t>CWH</t>
  </si>
  <si>
    <t>2022.6.17</t>
  </si>
  <si>
    <t>FINV</t>
  </si>
  <si>
    <t>2022.7.2</t>
  </si>
  <si>
    <t>DISH</t>
  </si>
  <si>
    <t>QFIN</t>
  </si>
  <si>
    <t>ZIM</t>
  </si>
  <si>
    <t>GEO</t>
  </si>
  <si>
    <t>LU</t>
  </si>
  <si>
    <t>HIBB</t>
  </si>
  <si>
    <t>MU</t>
  </si>
  <si>
    <t>十亿美元</t>
  </si>
  <si>
    <t>BGFV</t>
  </si>
  <si>
    <t>SWBI</t>
  </si>
  <si>
    <t>FLWS</t>
  </si>
  <si>
    <r>
      <rPr>
        <sz val="16"/>
        <color theme="1"/>
        <rFont val="Calibri"/>
        <charset val="134"/>
      </rPr>
      <t xml:space="preserve"> </t>
    </r>
    <r>
      <rPr>
        <sz val="16"/>
        <color theme="1"/>
        <rFont val="宋体"/>
        <charset val="134"/>
      </rPr>
      <t>百万美元</t>
    </r>
  </si>
  <si>
    <t>SFM</t>
  </si>
  <si>
    <t>2022.6.24</t>
  </si>
  <si>
    <t>LOGI</t>
  </si>
  <si>
    <t>PGR</t>
  </si>
  <si>
    <t>HD</t>
  </si>
  <si>
    <t>INMD</t>
  </si>
  <si>
    <t>PYPL</t>
  </si>
  <si>
    <t>NFLX</t>
  </si>
  <si>
    <t>WM</t>
  </si>
  <si>
    <t>RVLV</t>
  </si>
  <si>
    <t>2022.6.29</t>
  </si>
  <si>
    <t>FUTU</t>
  </si>
  <si>
    <t>亿港币</t>
  </si>
  <si>
    <t>ETSY</t>
  </si>
  <si>
    <t>PERI</t>
  </si>
  <si>
    <t>LRN</t>
  </si>
  <si>
    <t>PENN</t>
  </si>
  <si>
    <t>SHOP</t>
  </si>
  <si>
    <t>上</t>
  </si>
  <si>
    <t>ZM</t>
  </si>
  <si>
    <t>TWTR</t>
  </si>
  <si>
    <t>TSLA</t>
  </si>
  <si>
    <r>
      <rPr>
        <sz val="16"/>
        <color theme="1"/>
        <rFont val="宋体"/>
        <charset val="134"/>
      </rPr>
      <t>亿美元</t>
    </r>
  </si>
  <si>
    <t>INTC</t>
  </si>
  <si>
    <t>2022.7.7</t>
  </si>
  <si>
    <t>2022.7.8</t>
  </si>
  <si>
    <t>2022.7.9</t>
  </si>
  <si>
    <t>2022.7.10</t>
  </si>
</sst>
</file>

<file path=xl/styles.xml><?xml version="1.0" encoding="utf-8"?>
<styleSheet xmlns="http://schemas.openxmlformats.org/spreadsheetml/2006/main">
  <numFmts count="5"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41" formatCode="_ * #,##0_ ;_ * \-#,##0_ ;_ * &quot;-&quot;_ ;_ @_ "/>
    <numFmt numFmtId="43" formatCode="_ * #,##0.00_ ;_ * \-#,##0.00_ ;_ * &quot;-&quot;??_ ;_ @_ "/>
    <numFmt numFmtId="178" formatCode="0.00_ "/>
  </numFmts>
  <fonts count="22">
    <font>
      <sz val="11"/>
      <color theme="1"/>
      <name val="宋体"/>
      <charset val="134"/>
      <scheme val="minor"/>
    </font>
    <font>
      <sz val="16"/>
      <color theme="1"/>
      <name val="Calibri"/>
      <charset val="134"/>
    </font>
    <font>
      <sz val="16"/>
      <color theme="1"/>
      <name val="宋体"/>
      <charset val="134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Border="1" applyAlignment="1">
      <alignment horizontal="justify" vertical="top" wrapText="1"/>
    </xf>
    <xf numFmtId="0" fontId="1" fillId="0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178" fontId="1" fillId="0" borderId="0" xfId="0" applyNumberFormat="1" applyFo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tabSelected="1" zoomScale="85" zoomScaleNormal="85" topLeftCell="A29" workbookViewId="0">
      <selection activeCell="H43" sqref="H43"/>
    </sheetView>
  </sheetViews>
  <sheetFormatPr defaultColWidth="9" defaultRowHeight="13.5"/>
  <cols>
    <col min="1" max="1" width="13.5" customWidth="1"/>
    <col min="2" max="2" width="16.25" customWidth="1"/>
    <col min="3" max="3" width="29.875" customWidth="1"/>
    <col min="4" max="7" width="11.375"/>
    <col min="8" max="8" width="11.25" customWidth="1"/>
    <col min="9" max="9" width="27" customWidth="1"/>
    <col min="10" max="10" width="18.375" customWidth="1"/>
    <col min="11" max="11" width="12.375" customWidth="1"/>
  </cols>
  <sheetData>
    <row r="1" ht="21" spans="1:11">
      <c r="A1" s="1" t="s">
        <v>0</v>
      </c>
      <c r="B1" s="1" t="s">
        <v>1</v>
      </c>
      <c r="C1" s="1" t="s">
        <v>2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 t="s">
        <v>3</v>
      </c>
      <c r="J1" s="1" t="s">
        <v>4</v>
      </c>
      <c r="K1" s="1" t="s">
        <v>5</v>
      </c>
    </row>
    <row r="2" ht="21" spans="1:11">
      <c r="A2" s="1" t="s">
        <v>6</v>
      </c>
      <c r="B2" s="2" t="s">
        <v>7</v>
      </c>
      <c r="C2" s="1">
        <v>1307</v>
      </c>
      <c r="D2" s="1">
        <v>-111.92</v>
      </c>
      <c r="E2" s="1">
        <v>-217.57</v>
      </c>
      <c r="F2" s="1">
        <v>-134.72</v>
      </c>
      <c r="G2" s="1">
        <v>46.17</v>
      </c>
      <c r="H2" s="1">
        <v>389.04</v>
      </c>
      <c r="I2" s="4">
        <f t="shared" ref="I2:I39" si="0">(D2+E2+F2+G2+H2)/5</f>
        <v>-5.8</v>
      </c>
      <c r="J2" s="4">
        <f t="shared" ref="J2:J39" si="1">C2/I2</f>
        <v>-225.344827586207</v>
      </c>
      <c r="K2" s="1" t="s">
        <v>8</v>
      </c>
    </row>
    <row r="3" ht="21" spans="1:11">
      <c r="A3" s="1" t="s">
        <v>9</v>
      </c>
      <c r="B3" s="1" t="s">
        <v>10</v>
      </c>
      <c r="C3" s="1">
        <v>65900</v>
      </c>
      <c r="D3" s="1">
        <v>-751</v>
      </c>
      <c r="E3" s="1">
        <v>-4321</v>
      </c>
      <c r="F3" s="1">
        <v>-658.9</v>
      </c>
      <c r="G3" s="1">
        <v>1606</v>
      </c>
      <c r="H3" s="1">
        <v>1469</v>
      </c>
      <c r="I3" s="4">
        <f t="shared" si="0"/>
        <v>-531.18</v>
      </c>
      <c r="J3" s="1">
        <f t="shared" si="1"/>
        <v>-124.063406001732</v>
      </c>
      <c r="K3" s="1" t="s">
        <v>11</v>
      </c>
    </row>
    <row r="4" ht="21" spans="1:11">
      <c r="A4" s="1" t="s">
        <v>12</v>
      </c>
      <c r="B4" s="2" t="s">
        <v>13</v>
      </c>
      <c r="C4" s="1">
        <v>24.94</v>
      </c>
      <c r="D4" s="1">
        <v>1.3</v>
      </c>
      <c r="E4" s="1">
        <v>1.63</v>
      </c>
      <c r="F4" s="1">
        <v>-2.85</v>
      </c>
      <c r="G4" s="1">
        <v>-2.74</v>
      </c>
      <c r="H4" s="1">
        <v>1.49</v>
      </c>
      <c r="I4" s="4">
        <f t="shared" si="0"/>
        <v>-0.234</v>
      </c>
      <c r="J4" s="4">
        <f t="shared" si="1"/>
        <v>-106.581196581197</v>
      </c>
      <c r="K4" s="1" t="s">
        <v>11</v>
      </c>
    </row>
    <row r="5" ht="21" spans="1:11">
      <c r="A5" s="1" t="s">
        <v>14</v>
      </c>
      <c r="B5" s="2" t="s">
        <v>13</v>
      </c>
      <c r="C5" s="1">
        <v>26.57</v>
      </c>
      <c r="D5" s="1">
        <v>1.98</v>
      </c>
      <c r="E5" s="1">
        <v>3.67</v>
      </c>
      <c r="F5" s="1">
        <v>-1.1</v>
      </c>
      <c r="G5" s="1">
        <v>-1.16</v>
      </c>
      <c r="H5" s="1">
        <v>-11.36</v>
      </c>
      <c r="I5" s="4">
        <f t="shared" si="0"/>
        <v>-1.594</v>
      </c>
      <c r="J5" s="4">
        <f t="shared" si="1"/>
        <v>-16.6687578419072</v>
      </c>
      <c r="K5" s="1" t="s">
        <v>11</v>
      </c>
    </row>
    <row r="6" ht="21" spans="1:11">
      <c r="A6" s="1" t="s">
        <v>15</v>
      </c>
      <c r="B6" s="2" t="s">
        <v>16</v>
      </c>
      <c r="C6" s="1">
        <v>21.04</v>
      </c>
      <c r="D6" s="1">
        <v>21.64</v>
      </c>
      <c r="E6" s="1">
        <v>24.91</v>
      </c>
      <c r="F6" s="1">
        <v>32.64</v>
      </c>
      <c r="G6" s="1">
        <v>9.59</v>
      </c>
      <c r="H6" s="1">
        <v>5.89</v>
      </c>
      <c r="I6" s="4">
        <f t="shared" si="0"/>
        <v>18.934</v>
      </c>
      <c r="J6" s="4">
        <f t="shared" si="1"/>
        <v>1.1112284778705</v>
      </c>
      <c r="K6" s="1" t="s">
        <v>17</v>
      </c>
    </row>
    <row r="7" ht="21" spans="1:11">
      <c r="A7" s="1" t="s">
        <v>18</v>
      </c>
      <c r="B7" s="2" t="s">
        <v>19</v>
      </c>
      <c r="C7" s="1">
        <v>1586</v>
      </c>
      <c r="D7" s="1">
        <v>1452</v>
      </c>
      <c r="E7" s="1">
        <v>1749</v>
      </c>
      <c r="F7" s="1">
        <v>1872</v>
      </c>
      <c r="G7" s="1">
        <v>1269</v>
      </c>
      <c r="H7" s="1">
        <v>78.64</v>
      </c>
      <c r="I7" s="4">
        <f t="shared" si="0"/>
        <v>1284.128</v>
      </c>
      <c r="J7" s="4">
        <f t="shared" si="1"/>
        <v>1.23507936903486</v>
      </c>
      <c r="K7" s="1" t="s">
        <v>20</v>
      </c>
    </row>
    <row r="8" ht="21" spans="1:11">
      <c r="A8" s="1" t="s">
        <v>21</v>
      </c>
      <c r="B8" s="1" t="s">
        <v>22</v>
      </c>
      <c r="C8" s="1">
        <v>28.99</v>
      </c>
      <c r="D8" s="3">
        <v>2.4</v>
      </c>
      <c r="E8" s="3">
        <v>19.77</v>
      </c>
      <c r="F8" s="3">
        <v>22.95</v>
      </c>
      <c r="G8" s="3">
        <v>5.95</v>
      </c>
      <c r="H8" s="3">
        <v>23.34</v>
      </c>
      <c r="I8" s="4">
        <f t="shared" si="0"/>
        <v>14.882</v>
      </c>
      <c r="J8" s="1">
        <f t="shared" si="1"/>
        <v>1.94799086144335</v>
      </c>
      <c r="K8" s="1" t="s">
        <v>11</v>
      </c>
    </row>
    <row r="9" ht="21" spans="1:11">
      <c r="A9" s="1" t="s">
        <v>23</v>
      </c>
      <c r="B9" s="2" t="s">
        <v>7</v>
      </c>
      <c r="C9" s="1">
        <v>1790</v>
      </c>
      <c r="D9" s="1">
        <v>927</v>
      </c>
      <c r="E9" s="1">
        <v>297</v>
      </c>
      <c r="F9" s="1">
        <v>530</v>
      </c>
      <c r="G9" s="1">
        <v>212</v>
      </c>
      <c r="H9" s="1">
        <v>945</v>
      </c>
      <c r="I9" s="4">
        <f t="shared" si="0"/>
        <v>582.2</v>
      </c>
      <c r="J9" s="4">
        <f t="shared" si="1"/>
        <v>3.07454482995534</v>
      </c>
      <c r="K9" s="1" t="s">
        <v>24</v>
      </c>
    </row>
    <row r="10" ht="21" spans="1:11">
      <c r="A10" s="1" t="s">
        <v>25</v>
      </c>
      <c r="B10" s="2" t="s">
        <v>7</v>
      </c>
      <c r="C10" s="1">
        <v>958.87</v>
      </c>
      <c r="D10" s="1">
        <v>232.97</v>
      </c>
      <c r="E10" s="1">
        <v>65.58</v>
      </c>
      <c r="F10" s="1">
        <v>-120.3</v>
      </c>
      <c r="G10" s="1">
        <v>344.21</v>
      </c>
      <c r="H10" s="1">
        <v>642.08</v>
      </c>
      <c r="I10" s="4">
        <f t="shared" si="0"/>
        <v>232.908</v>
      </c>
      <c r="J10" s="4">
        <f t="shared" si="1"/>
        <v>4.11694746423481</v>
      </c>
      <c r="K10" s="1" t="s">
        <v>26</v>
      </c>
    </row>
    <row r="11" ht="21" spans="1:11">
      <c r="A11" s="4" t="s">
        <v>27</v>
      </c>
      <c r="B11" s="4" t="s">
        <v>16</v>
      </c>
      <c r="C11" s="4">
        <v>94.08</v>
      </c>
      <c r="D11" s="4">
        <v>10.83</v>
      </c>
      <c r="E11" s="4">
        <v>24.69</v>
      </c>
      <c r="F11" s="4">
        <v>23.73</v>
      </c>
      <c r="G11" s="4">
        <v>19.73</v>
      </c>
      <c r="H11" s="4">
        <v>25.09</v>
      </c>
      <c r="I11" s="4">
        <f t="shared" si="0"/>
        <v>20.814</v>
      </c>
      <c r="J11" s="4">
        <f t="shared" si="1"/>
        <v>4.52003459210147</v>
      </c>
      <c r="K11" s="4" t="s">
        <v>28</v>
      </c>
    </row>
    <row r="12" ht="21" spans="1:11">
      <c r="A12" s="5" t="s">
        <v>29</v>
      </c>
      <c r="B12" s="6" t="s">
        <v>13</v>
      </c>
      <c r="C12" s="5">
        <v>97.02</v>
      </c>
      <c r="D12" s="5">
        <v>20.99</v>
      </c>
      <c r="E12" s="5">
        <v>15.75</v>
      </c>
      <c r="F12" s="5">
        <v>14</v>
      </c>
      <c r="G12" s="5">
        <v>17.63</v>
      </c>
      <c r="H12" s="5">
        <v>24.11</v>
      </c>
      <c r="I12" s="8">
        <f t="shared" si="0"/>
        <v>18.496</v>
      </c>
      <c r="J12" s="8">
        <f t="shared" si="1"/>
        <v>5.24545847750865</v>
      </c>
      <c r="K12" s="5" t="s">
        <v>28</v>
      </c>
    </row>
    <row r="13" ht="21" spans="1:11">
      <c r="A13" s="4" t="s">
        <v>30</v>
      </c>
      <c r="B13" s="4" t="s">
        <v>16</v>
      </c>
      <c r="C13" s="4">
        <v>150.3</v>
      </c>
      <c r="D13" s="4">
        <v>1.65</v>
      </c>
      <c r="E13" s="4">
        <v>11.93</v>
      </c>
      <c r="F13" s="4">
        <v>25.02</v>
      </c>
      <c r="G13" s="4">
        <v>34.97</v>
      </c>
      <c r="H13" s="4">
        <v>57.82</v>
      </c>
      <c r="I13" s="4">
        <f t="shared" si="0"/>
        <v>26.278</v>
      </c>
      <c r="J13" s="4">
        <f t="shared" si="1"/>
        <v>5.71961336479184</v>
      </c>
      <c r="K13" s="1" t="s">
        <v>11</v>
      </c>
    </row>
    <row r="14" ht="21" spans="1:11">
      <c r="A14" s="1" t="s">
        <v>31</v>
      </c>
      <c r="B14" s="2" t="s">
        <v>13</v>
      </c>
      <c r="C14" s="1">
        <v>58.11</v>
      </c>
      <c r="D14" s="1">
        <v>-1.68</v>
      </c>
      <c r="E14" s="1">
        <v>0.06235</v>
      </c>
      <c r="F14" s="1">
        <v>-0.1815</v>
      </c>
      <c r="G14" s="1">
        <v>5.18</v>
      </c>
      <c r="H14" s="7">
        <v>46.4</v>
      </c>
      <c r="I14" s="4">
        <f t="shared" si="0"/>
        <v>9.95617</v>
      </c>
      <c r="J14" s="4">
        <f t="shared" si="1"/>
        <v>5.83658173775659</v>
      </c>
      <c r="K14" s="1" t="s">
        <v>24</v>
      </c>
    </row>
    <row r="15" ht="21" spans="1:11">
      <c r="A15" s="1" t="s">
        <v>32</v>
      </c>
      <c r="B15" s="2" t="s">
        <v>13</v>
      </c>
      <c r="C15" s="1">
        <v>8.53</v>
      </c>
      <c r="D15" s="1">
        <v>1.46</v>
      </c>
      <c r="E15" s="1">
        <v>1.45</v>
      </c>
      <c r="F15" s="1">
        <v>1.67</v>
      </c>
      <c r="G15" s="1">
        <v>1.13</v>
      </c>
      <c r="H15" s="1">
        <v>0.7742</v>
      </c>
      <c r="I15" s="4">
        <f t="shared" si="0"/>
        <v>1.29684</v>
      </c>
      <c r="J15" s="4">
        <f t="shared" si="1"/>
        <v>6.57752691156966</v>
      </c>
      <c r="K15" s="1" t="s">
        <v>11</v>
      </c>
    </row>
    <row r="16" ht="21" spans="1:11">
      <c r="A16" s="1" t="s">
        <v>33</v>
      </c>
      <c r="B16" s="2" t="s">
        <v>16</v>
      </c>
      <c r="C16" s="1">
        <v>975</v>
      </c>
      <c r="D16" s="1">
        <v>59.65</v>
      </c>
      <c r="E16" s="1">
        <v>136.2</v>
      </c>
      <c r="F16" s="1">
        <v>133.3</v>
      </c>
      <c r="G16" s="1">
        <v>123.5</v>
      </c>
      <c r="H16" s="1">
        <v>168</v>
      </c>
      <c r="I16" s="4">
        <f t="shared" si="0"/>
        <v>124.13</v>
      </c>
      <c r="J16" s="4">
        <f t="shared" si="1"/>
        <v>7.85466849270926</v>
      </c>
      <c r="K16" s="1" t="s">
        <v>24</v>
      </c>
    </row>
    <row r="17" ht="21" spans="1:11">
      <c r="A17" s="5" t="s">
        <v>34</v>
      </c>
      <c r="B17" s="6" t="s">
        <v>7</v>
      </c>
      <c r="C17" s="5">
        <v>579.88</v>
      </c>
      <c r="D17" s="5">
        <v>35.03</v>
      </c>
      <c r="E17" s="5">
        <v>28.42</v>
      </c>
      <c r="F17" s="5">
        <v>27.34</v>
      </c>
      <c r="G17" s="5">
        <v>74.27</v>
      </c>
      <c r="H17" s="5">
        <v>174.31</v>
      </c>
      <c r="I17" s="5">
        <f t="shared" si="0"/>
        <v>67.874</v>
      </c>
      <c r="J17" s="5">
        <f t="shared" si="1"/>
        <v>8.54347762029643</v>
      </c>
      <c r="K17" s="5" t="s">
        <v>28</v>
      </c>
    </row>
    <row r="18" ht="21" spans="1:11">
      <c r="A18" s="5" t="s">
        <v>35</v>
      </c>
      <c r="B18" s="6" t="s">
        <v>36</v>
      </c>
      <c r="C18" s="5">
        <v>60.77</v>
      </c>
      <c r="D18" s="5">
        <v>5.09</v>
      </c>
      <c r="E18" s="5">
        <v>14.14</v>
      </c>
      <c r="F18" s="5">
        <v>6.36</v>
      </c>
      <c r="G18" s="5">
        <v>2.71</v>
      </c>
      <c r="H18" s="5">
        <v>5.86</v>
      </c>
      <c r="I18" s="8">
        <f t="shared" si="0"/>
        <v>6.832</v>
      </c>
      <c r="J18" s="8">
        <f t="shared" si="1"/>
        <v>8.89490632318501</v>
      </c>
      <c r="K18" s="5" t="s">
        <v>26</v>
      </c>
    </row>
    <row r="19" ht="21" spans="1:11">
      <c r="A19" s="1" t="s">
        <v>37</v>
      </c>
      <c r="B19" s="1" t="s">
        <v>10</v>
      </c>
      <c r="C19" s="1">
        <v>29800</v>
      </c>
      <c r="D19" s="3">
        <v>110.4</v>
      </c>
      <c r="E19" s="3">
        <v>-353.1</v>
      </c>
      <c r="F19" s="3">
        <v>844.5</v>
      </c>
      <c r="G19" s="3">
        <v>5594</v>
      </c>
      <c r="H19" s="3">
        <v>10200</v>
      </c>
      <c r="I19" s="4">
        <f t="shared" si="0"/>
        <v>3279.16</v>
      </c>
      <c r="J19" s="1">
        <f t="shared" si="1"/>
        <v>9.08769318971932</v>
      </c>
      <c r="K19" s="1" t="s">
        <v>11</v>
      </c>
    </row>
    <row r="20" ht="21" spans="1:11">
      <c r="A20" s="1" t="s">
        <v>38</v>
      </c>
      <c r="B20" s="2" t="s">
        <v>13</v>
      </c>
      <c r="C20" s="1">
        <v>6.92</v>
      </c>
      <c r="D20" s="1">
        <v>1.28</v>
      </c>
      <c r="E20" s="1">
        <v>0.2013</v>
      </c>
      <c r="F20" s="1">
        <v>0.1841</v>
      </c>
      <c r="G20" s="1">
        <v>-0.6123</v>
      </c>
      <c r="H20" s="1">
        <v>2.52</v>
      </c>
      <c r="I20" s="4">
        <f t="shared" si="0"/>
        <v>0.71462</v>
      </c>
      <c r="J20" s="4">
        <f t="shared" si="1"/>
        <v>9.68346813691192</v>
      </c>
      <c r="K20" s="1" t="s">
        <v>11</v>
      </c>
    </row>
    <row r="21" ht="21" spans="1:11">
      <c r="A21" s="1" t="s">
        <v>39</v>
      </c>
      <c r="B21" s="1" t="s">
        <v>40</v>
      </c>
      <c r="C21" s="1">
        <v>601.66</v>
      </c>
      <c r="D21" s="1">
        <v>40.04</v>
      </c>
      <c r="E21" s="1">
        <v>40.79</v>
      </c>
      <c r="F21" s="1">
        <v>34.77</v>
      </c>
      <c r="G21" s="1">
        <v>59</v>
      </c>
      <c r="H21" s="1">
        <v>118.65</v>
      </c>
      <c r="I21" s="4">
        <f t="shared" si="0"/>
        <v>58.65</v>
      </c>
      <c r="J21" s="4">
        <f t="shared" si="1"/>
        <v>10.2584825234442</v>
      </c>
      <c r="K21" s="1" t="s">
        <v>26</v>
      </c>
    </row>
    <row r="22" ht="21" spans="1:11">
      <c r="A22" s="1" t="s">
        <v>41</v>
      </c>
      <c r="B22" s="2" t="s">
        <v>13</v>
      </c>
      <c r="C22" s="1">
        <v>27.59</v>
      </c>
      <c r="D22" s="1">
        <v>1.58</v>
      </c>
      <c r="E22" s="1">
        <v>1.59</v>
      </c>
      <c r="F22" s="1">
        <v>1.5</v>
      </c>
      <c r="G22" s="1">
        <v>2.87</v>
      </c>
      <c r="H22" s="1">
        <v>2.44</v>
      </c>
      <c r="I22" s="4">
        <f t="shared" si="0"/>
        <v>1.996</v>
      </c>
      <c r="J22" s="4">
        <f t="shared" si="1"/>
        <v>13.8226452905812</v>
      </c>
      <c r="K22" s="1" t="s">
        <v>42</v>
      </c>
    </row>
    <row r="23" ht="21" spans="1:11">
      <c r="A23" s="5" t="s">
        <v>43</v>
      </c>
      <c r="B23" s="6" t="s">
        <v>13</v>
      </c>
      <c r="C23" s="5">
        <v>85.29</v>
      </c>
      <c r="D23" s="5">
        <v>2.09</v>
      </c>
      <c r="E23" s="5">
        <v>2.58</v>
      </c>
      <c r="F23" s="5">
        <v>4.5</v>
      </c>
      <c r="G23" s="5">
        <v>9.47</v>
      </c>
      <c r="H23" s="5">
        <v>6.45</v>
      </c>
      <c r="I23" s="8">
        <f t="shared" si="0"/>
        <v>5.018</v>
      </c>
      <c r="J23" s="8">
        <f t="shared" si="1"/>
        <v>16.9968114786768</v>
      </c>
      <c r="K23" s="5" t="s">
        <v>28</v>
      </c>
    </row>
    <row r="24" ht="21" spans="1:11">
      <c r="A24" s="1" t="s">
        <v>44</v>
      </c>
      <c r="B24" s="2" t="s">
        <v>13</v>
      </c>
      <c r="C24" s="1">
        <v>703.8</v>
      </c>
      <c r="D24" s="1">
        <v>15.92</v>
      </c>
      <c r="E24" s="1">
        <v>26.15</v>
      </c>
      <c r="F24" s="1">
        <v>39.7</v>
      </c>
      <c r="G24" s="1">
        <v>57.05</v>
      </c>
      <c r="H24" s="1">
        <v>33.51</v>
      </c>
      <c r="I24" s="4">
        <f t="shared" si="0"/>
        <v>34.466</v>
      </c>
      <c r="J24" s="4">
        <f t="shared" si="1"/>
        <v>20.4201241803516</v>
      </c>
      <c r="K24" s="1" t="s">
        <v>11</v>
      </c>
    </row>
    <row r="25" ht="21" spans="1:11">
      <c r="A25" s="1" t="s">
        <v>45</v>
      </c>
      <c r="B25" s="2" t="s">
        <v>13</v>
      </c>
      <c r="C25" s="1">
        <v>3170</v>
      </c>
      <c r="D25" s="1">
        <v>86.3</v>
      </c>
      <c r="E25" s="1">
        <v>111.2</v>
      </c>
      <c r="F25" s="1">
        <v>112.4</v>
      </c>
      <c r="G25" s="1">
        <v>128.7</v>
      </c>
      <c r="H25" s="1">
        <v>164.3</v>
      </c>
      <c r="I25" s="4">
        <f t="shared" si="0"/>
        <v>120.58</v>
      </c>
      <c r="J25" s="4">
        <f t="shared" si="1"/>
        <v>26.289600265384</v>
      </c>
      <c r="K25" s="1" t="s">
        <v>11</v>
      </c>
    </row>
    <row r="26" ht="21" spans="1:11">
      <c r="A26" s="1" t="s">
        <v>46</v>
      </c>
      <c r="B26" s="1" t="s">
        <v>10</v>
      </c>
      <c r="C26" s="1">
        <v>222600</v>
      </c>
      <c r="D26" s="3">
        <v>881.9</v>
      </c>
      <c r="E26" s="3">
        <v>2237</v>
      </c>
      <c r="F26" s="3">
        <v>6114</v>
      </c>
      <c r="G26" s="3">
        <v>7503</v>
      </c>
      <c r="H26" s="3">
        <v>16500</v>
      </c>
      <c r="I26" s="4">
        <f t="shared" si="0"/>
        <v>6647.18</v>
      </c>
      <c r="J26" s="1">
        <f t="shared" si="1"/>
        <v>33.4878850881125</v>
      </c>
      <c r="K26" s="1" t="s">
        <v>11</v>
      </c>
    </row>
    <row r="27" ht="21" spans="1:11">
      <c r="A27" s="1" t="s">
        <v>47</v>
      </c>
      <c r="B27" s="2" t="s">
        <v>13</v>
      </c>
      <c r="C27" s="1">
        <v>986.8</v>
      </c>
      <c r="D27" s="1">
        <v>17.95</v>
      </c>
      <c r="E27" s="1">
        <v>20.57</v>
      </c>
      <c r="F27" s="1">
        <v>24.59</v>
      </c>
      <c r="G27" s="1">
        <v>42.02</v>
      </c>
      <c r="H27" s="1">
        <v>41.69</v>
      </c>
      <c r="I27" s="4">
        <f t="shared" si="0"/>
        <v>29.364</v>
      </c>
      <c r="J27" s="4">
        <f t="shared" si="1"/>
        <v>33.6057757798665</v>
      </c>
      <c r="K27" s="1" t="s">
        <v>11</v>
      </c>
    </row>
    <row r="28" ht="21" spans="1:11">
      <c r="A28" s="1" t="s">
        <v>48</v>
      </c>
      <c r="B28" s="2" t="s">
        <v>13</v>
      </c>
      <c r="C28" s="1">
        <v>825.8</v>
      </c>
      <c r="D28" s="1">
        <v>5.59</v>
      </c>
      <c r="E28" s="1">
        <v>12.11</v>
      </c>
      <c r="F28" s="1">
        <v>18.67</v>
      </c>
      <c r="G28" s="1">
        <v>27.61</v>
      </c>
      <c r="H28" s="1">
        <v>51.16</v>
      </c>
      <c r="I28" s="1">
        <f t="shared" si="0"/>
        <v>23.028</v>
      </c>
      <c r="J28" s="1">
        <f t="shared" si="1"/>
        <v>35.8606913322911</v>
      </c>
      <c r="K28" s="1" t="s">
        <v>17</v>
      </c>
    </row>
    <row r="29" ht="21" spans="1:11">
      <c r="A29" s="1" t="s">
        <v>49</v>
      </c>
      <c r="B29" s="2" t="s">
        <v>13</v>
      </c>
      <c r="C29" s="1">
        <v>668.5</v>
      </c>
      <c r="D29" s="1">
        <v>19.49</v>
      </c>
      <c r="E29" s="1">
        <v>19.25</v>
      </c>
      <c r="F29" s="7">
        <v>16.7</v>
      </c>
      <c r="G29" s="1">
        <v>14.96</v>
      </c>
      <c r="H29" s="1">
        <v>18.16</v>
      </c>
      <c r="I29" s="4">
        <f t="shared" si="0"/>
        <v>17.712</v>
      </c>
      <c r="J29" s="4">
        <f t="shared" si="1"/>
        <v>37.7427732610659</v>
      </c>
      <c r="K29" s="1" t="s">
        <v>11</v>
      </c>
    </row>
    <row r="30" ht="21" spans="1:11">
      <c r="A30" s="1" t="s">
        <v>50</v>
      </c>
      <c r="B30" s="2" t="s">
        <v>7</v>
      </c>
      <c r="C30" s="1">
        <v>1973</v>
      </c>
      <c r="D30" s="1">
        <v>5</v>
      </c>
      <c r="E30" s="1">
        <v>30.63</v>
      </c>
      <c r="F30" s="1">
        <v>35.667</v>
      </c>
      <c r="G30" s="1">
        <v>56.79</v>
      </c>
      <c r="H30" s="1">
        <v>99.84</v>
      </c>
      <c r="I30" s="4">
        <f t="shared" si="0"/>
        <v>45.5854</v>
      </c>
      <c r="J30" s="4">
        <f t="shared" si="1"/>
        <v>43.2814015013579</v>
      </c>
      <c r="K30" s="1" t="s">
        <v>51</v>
      </c>
    </row>
    <row r="31" ht="21" spans="1:11">
      <c r="A31" s="1" t="s">
        <v>52</v>
      </c>
      <c r="B31" s="2" t="s">
        <v>53</v>
      </c>
      <c r="C31" s="1">
        <v>417.4</v>
      </c>
      <c r="D31" s="1">
        <v>-0.081</v>
      </c>
      <c r="E31" s="1">
        <v>1.39</v>
      </c>
      <c r="F31" s="1">
        <v>1.66</v>
      </c>
      <c r="G31" s="1">
        <v>13.26</v>
      </c>
      <c r="H31" s="1">
        <v>28.1</v>
      </c>
      <c r="I31" s="4">
        <f t="shared" si="0"/>
        <v>8.8658</v>
      </c>
      <c r="J31" s="4">
        <f t="shared" si="1"/>
        <v>47.0797897538857</v>
      </c>
      <c r="K31" s="1" t="s">
        <v>11</v>
      </c>
    </row>
    <row r="32" ht="21" spans="1:11">
      <c r="A32" s="1" t="s">
        <v>54</v>
      </c>
      <c r="B32" s="2" t="s">
        <v>13</v>
      </c>
      <c r="C32" s="1">
        <v>104.4</v>
      </c>
      <c r="D32" s="1">
        <v>0.818</v>
      </c>
      <c r="E32" s="1">
        <v>0.7749</v>
      </c>
      <c r="F32" s="1">
        <v>0.9589</v>
      </c>
      <c r="G32" s="1">
        <v>3.49</v>
      </c>
      <c r="H32" s="1">
        <v>4.94</v>
      </c>
      <c r="I32" s="4">
        <f t="shared" si="0"/>
        <v>2.19636</v>
      </c>
      <c r="J32" s="4">
        <f t="shared" si="1"/>
        <v>47.533191280118</v>
      </c>
      <c r="K32" s="1" t="s">
        <v>11</v>
      </c>
    </row>
    <row r="33" ht="21" spans="1:11">
      <c r="A33" s="1" t="s">
        <v>55</v>
      </c>
      <c r="B33" s="2" t="s">
        <v>19</v>
      </c>
      <c r="C33" s="1">
        <v>87300</v>
      </c>
      <c r="D33" s="1">
        <v>330.6</v>
      </c>
      <c r="E33" s="1">
        <v>1039</v>
      </c>
      <c r="F33" s="1">
        <v>2101</v>
      </c>
      <c r="G33" s="1">
        <v>3871</v>
      </c>
      <c r="H33" s="1">
        <v>1547</v>
      </c>
      <c r="I33" s="4">
        <f t="shared" si="0"/>
        <v>1777.72</v>
      </c>
      <c r="J33" s="4">
        <f t="shared" si="1"/>
        <v>49.1078460049952</v>
      </c>
      <c r="K33" s="1" t="s">
        <v>11</v>
      </c>
    </row>
    <row r="34" ht="21" spans="1:11">
      <c r="A34" s="1" t="s">
        <v>56</v>
      </c>
      <c r="B34" s="2" t="s">
        <v>19</v>
      </c>
      <c r="C34" s="1">
        <v>163800</v>
      </c>
      <c r="D34" s="1">
        <v>45.1</v>
      </c>
      <c r="E34" s="1">
        <v>2762</v>
      </c>
      <c r="F34" s="1">
        <v>3721</v>
      </c>
      <c r="G34" s="1">
        <v>2451</v>
      </c>
      <c r="H34" s="1">
        <v>7145</v>
      </c>
      <c r="I34" s="4">
        <f t="shared" si="0"/>
        <v>3224.82</v>
      </c>
      <c r="J34" s="4">
        <f t="shared" si="1"/>
        <v>50.7935326622881</v>
      </c>
      <c r="K34" s="1" t="s">
        <v>11</v>
      </c>
    </row>
    <row r="35" ht="21" spans="1:11">
      <c r="A35" s="1" t="s">
        <v>57</v>
      </c>
      <c r="B35" s="2" t="s">
        <v>13</v>
      </c>
      <c r="C35" s="1">
        <v>53.11</v>
      </c>
      <c r="D35" s="1">
        <v>4.73</v>
      </c>
      <c r="E35" s="1">
        <v>0.935</v>
      </c>
      <c r="F35" s="1">
        <v>0.439</v>
      </c>
      <c r="G35" s="1">
        <v>-6.7</v>
      </c>
      <c r="H35" s="1">
        <v>4.21</v>
      </c>
      <c r="I35" s="4">
        <f t="shared" si="0"/>
        <v>0.7228</v>
      </c>
      <c r="J35" s="4">
        <f t="shared" si="1"/>
        <v>73.4781405644715</v>
      </c>
      <c r="K35" s="1" t="s">
        <v>11</v>
      </c>
    </row>
    <row r="36" ht="21" spans="1:14">
      <c r="A36" s="1" t="s">
        <v>58</v>
      </c>
      <c r="B36" s="2" t="s">
        <v>13</v>
      </c>
      <c r="C36" s="1">
        <v>465.5</v>
      </c>
      <c r="D36" s="1">
        <v>-0.4</v>
      </c>
      <c r="E36" s="1">
        <v>-0.6</v>
      </c>
      <c r="F36" s="1">
        <v>-1.25</v>
      </c>
      <c r="G36" s="1">
        <v>3.2</v>
      </c>
      <c r="H36" s="1">
        <v>29.15</v>
      </c>
      <c r="I36" s="4">
        <f t="shared" si="0"/>
        <v>6.02</v>
      </c>
      <c r="J36" s="4">
        <f t="shared" si="1"/>
        <v>77.3255813953488</v>
      </c>
      <c r="K36" s="1" t="s">
        <v>11</v>
      </c>
      <c r="N36" t="s">
        <v>59</v>
      </c>
    </row>
    <row r="37" ht="21" spans="1:11">
      <c r="A37" s="1" t="s">
        <v>60</v>
      </c>
      <c r="B37" s="1" t="s">
        <v>13</v>
      </c>
      <c r="C37" s="1">
        <v>329.5</v>
      </c>
      <c r="D37" s="1">
        <v>-0.0382</v>
      </c>
      <c r="E37" s="1">
        <v>0.07584</v>
      </c>
      <c r="F37" s="1">
        <v>0.253</v>
      </c>
      <c r="G37" s="1">
        <v>6.72</v>
      </c>
      <c r="H37" s="1">
        <v>13.76</v>
      </c>
      <c r="I37" s="4">
        <f t="shared" si="0"/>
        <v>4.154128</v>
      </c>
      <c r="J37" s="4">
        <f t="shared" si="1"/>
        <v>79.318692153925</v>
      </c>
      <c r="K37" s="1" t="s">
        <v>11</v>
      </c>
    </row>
    <row r="38" ht="21" spans="1:11">
      <c r="A38" s="1" t="s">
        <v>61</v>
      </c>
      <c r="B38" s="2" t="s">
        <v>13</v>
      </c>
      <c r="C38" s="1">
        <v>306.5</v>
      </c>
      <c r="D38" s="1">
        <v>-1.08</v>
      </c>
      <c r="E38" s="1">
        <v>12.06</v>
      </c>
      <c r="F38" s="1">
        <v>14.66</v>
      </c>
      <c r="G38" s="1">
        <v>-11.36</v>
      </c>
      <c r="H38" s="1">
        <v>-2.21</v>
      </c>
      <c r="I38" s="4">
        <f t="shared" si="0"/>
        <v>2.414</v>
      </c>
      <c r="J38" s="4">
        <f t="shared" si="1"/>
        <v>126.967688483844</v>
      </c>
      <c r="K38" s="1" t="s">
        <v>11</v>
      </c>
    </row>
    <row r="39" ht="21" spans="1:12">
      <c r="A39" s="1" t="s">
        <v>62</v>
      </c>
      <c r="B39" s="1" t="s">
        <v>63</v>
      </c>
      <c r="C39" s="1">
        <v>7803</v>
      </c>
      <c r="D39" s="1">
        <v>-19.62</v>
      </c>
      <c r="E39" s="1">
        <v>-9.76</v>
      </c>
      <c r="F39" s="1">
        <v>-8.62</v>
      </c>
      <c r="G39" s="1">
        <v>7.21</v>
      </c>
      <c r="H39" s="1">
        <v>55.19</v>
      </c>
      <c r="I39" s="4">
        <f t="shared" si="0"/>
        <v>4.88</v>
      </c>
      <c r="J39" s="1">
        <f t="shared" si="1"/>
        <v>1598.97540983607</v>
      </c>
      <c r="K39" s="1" t="s">
        <v>11</v>
      </c>
      <c r="L39" s="1"/>
    </row>
    <row r="40" ht="21" spans="1:11">
      <c r="A40" s="1" t="s">
        <v>64</v>
      </c>
      <c r="B40" s="2" t="s">
        <v>13</v>
      </c>
      <c r="C40" s="1">
        <v>1512.52</v>
      </c>
      <c r="D40" s="1">
        <v>96.01</v>
      </c>
      <c r="E40" s="1">
        <v>210.53</v>
      </c>
      <c r="F40" s="1">
        <v>210.48</v>
      </c>
      <c r="G40" s="1">
        <v>208.89</v>
      </c>
      <c r="H40" s="1">
        <v>198.68</v>
      </c>
      <c r="I40" s="4">
        <f>(D40+E40+F40+G40+H40)/5</f>
        <v>184.918</v>
      </c>
      <c r="J40" s="1">
        <f>C40/I40</f>
        <v>8.17940925166831</v>
      </c>
      <c r="K40" s="1" t="s">
        <v>65</v>
      </c>
    </row>
    <row r="41" ht="2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 t="s">
        <v>66</v>
      </c>
    </row>
    <row r="42" ht="21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 t="s">
        <v>67</v>
      </c>
    </row>
    <row r="43" ht="21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 t="s">
        <v>68</v>
      </c>
    </row>
    <row r="44" ht="21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21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21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21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21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21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21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2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21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21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21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21" spans="11:11">
      <c r="K55" s="1"/>
    </row>
  </sheetData>
  <sortState ref="A2:K39">
    <sortCondition ref="J2:J39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2" sqref="E3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5年平均盈利</vt:lpstr>
      <vt:lpstr>10年平均盈利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Zhu</dc:creator>
  <cp:lastModifiedBy>Administrator</cp:lastModifiedBy>
  <dcterms:created xsi:type="dcterms:W3CDTF">2022-05-27T17:04:00Z</dcterms:created>
  <dcterms:modified xsi:type="dcterms:W3CDTF">2022-07-07T08:00:54Z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968137C298A142BBB60E8984A5F8D73A</vt:lpwstr>
  </property>
  <property fmtid="{D5CDD505-2E9C-101B-9397-08002B2CF9AE}" pid="3" name="KSOProductBuildVer">
    <vt:lpwstr>2052-11.1.0.11365</vt:lpwstr>
  </property>
</Properties>
</file>